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<sst xmlns="http://schemas.openxmlformats.org/spreadsheetml/2006/main" uniqueCount="9">
  <si>
    <t>Suszarnie</t>
  </si>
  <si>
    <t>DS</t>
  </si>
  <si>
    <t>RND</t>
  </si>
  <si>
    <t>SW</t>
  </si>
  <si>
    <t>Średnia</t>
  </si>
  <si>
    <t>Średnia -&gt;</t>
  </si>
  <si>
    <t>C_max</t>
  </si>
  <si>
    <t>Czas</t>
  </si>
  <si>
    <t>C_max/Czas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</si>
</sst>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3" borderId="3" applyNumberFormat="1" applyFont="1" applyFill="1" applyBorder="1" applyAlignment="1" applyProtection="0">
      <alignment horizontal="center" vertical="top" wrapText="1"/>
    </xf>
    <xf numFmtId="2" fontId="3" borderId="4" applyNumberFormat="1" applyFont="1" applyFill="0" applyBorder="1" applyAlignment="1" applyProtection="0">
      <alignment horizontal="center" vertical="top" wrapText="1"/>
    </xf>
    <xf numFmtId="2" fontId="0" borderId="5" applyNumberFormat="1" applyFont="1" applyFill="0" applyBorder="1" applyAlignment="1" applyProtection="0">
      <alignment horizontal="center" vertical="top" wrapText="1"/>
    </xf>
    <xf numFmtId="2" fontId="3" borderId="5" applyNumberFormat="1" applyFont="1" applyFill="0" applyBorder="1" applyAlignment="1" applyProtection="0">
      <alignment horizontal="center" vertical="top" wrapText="1"/>
    </xf>
    <xf numFmtId="2" fontId="4" borderId="5" applyNumberFormat="1" applyFont="1" applyFill="0" applyBorder="1" applyAlignment="1" applyProtection="0">
      <alignment horizontal="center" vertical="top" wrapText="1"/>
    </xf>
    <xf numFmtId="0" fontId="2" fillId="3" borderId="6" applyNumberFormat="1" applyFont="1" applyFill="1" applyBorder="1" applyAlignment="1" applyProtection="0">
      <alignment horizontal="center" vertical="top" wrapText="1"/>
    </xf>
    <xf numFmtId="2" fontId="4" borderId="7" applyNumberFormat="1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center" vertical="top" wrapText="1"/>
    </xf>
    <xf numFmtId="2" fontId="3" borderId="1" applyNumberFormat="1" applyFont="1" applyFill="0" applyBorder="1" applyAlignment="1" applyProtection="0">
      <alignment horizontal="center" vertical="top" wrapText="1"/>
    </xf>
    <xf numFmtId="2" fontId="4" borderId="1" applyNumberFormat="1" applyFont="1" applyFill="0" applyBorder="1" applyAlignment="1" applyProtection="0">
      <alignment horizontal="center" vertical="top" wrapText="1"/>
    </xf>
    <xf numFmtId="2" fontId="0" borderId="7" applyNumberFormat="1" applyFont="1" applyFill="0" applyBorder="1" applyAlignment="1" applyProtection="0">
      <alignment horizontal="center" vertical="top" wrapText="1"/>
    </xf>
    <xf numFmtId="4" fontId="3" borderId="1" applyNumberFormat="1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2" fontId="3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60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0.05" customHeight="1">
      <c r="A1" t="s" s="2">
        <v>0</v>
      </c>
      <c r="B1" t="s" s="2">
        <v>1</v>
      </c>
      <c r="C1" s="3"/>
      <c r="D1" t="s" s="2">
        <v>2</v>
      </c>
      <c r="E1" s="3"/>
      <c r="F1" t="s" s="2">
        <v>3</v>
      </c>
      <c r="G1" s="3"/>
      <c r="H1" t="s" s="2">
        <v>4</v>
      </c>
      <c r="I1" s="3"/>
    </row>
    <row r="2" ht="20.25" customHeight="1">
      <c r="A2" t="s" s="4">
        <v>5</v>
      </c>
      <c r="B2" t="s" s="4">
        <v>6</v>
      </c>
      <c r="C2" t="s" s="4">
        <v>7</v>
      </c>
      <c r="D2" t="s" s="4">
        <v>6</v>
      </c>
      <c r="E2" t="s" s="4">
        <v>7</v>
      </c>
      <c r="F2" t="s" s="4">
        <v>6</v>
      </c>
      <c r="G2" t="s" s="4">
        <v>7</v>
      </c>
      <c r="H2" t="s" s="4">
        <v>6</v>
      </c>
      <c r="I2" t="s" s="4">
        <v>7</v>
      </c>
    </row>
    <row r="3" ht="20.25" customHeight="1">
      <c r="A3" s="5">
        <v>1</v>
      </c>
      <c r="B3" s="6">
        <v>91</v>
      </c>
      <c r="C3" s="7">
        <v>2.0449</v>
      </c>
      <c r="D3" s="7">
        <v>87.75</v>
      </c>
      <c r="E3" s="8">
        <v>7.0482</v>
      </c>
      <c r="F3" s="9">
        <v>83</v>
      </c>
      <c r="G3" s="9">
        <v>0.5544</v>
      </c>
      <c r="H3" s="7">
        <f>AVERAGE(B3,D3,F3)</f>
        <v>87.25</v>
      </c>
      <c r="I3" s="7">
        <f>AVERAGE(C3,E3,G3)</f>
        <v>3.21583333333333</v>
      </c>
    </row>
    <row r="4" ht="20.05" customHeight="1">
      <c r="A4" s="10">
        <v>2</v>
      </c>
      <c r="B4" s="11">
        <v>144</v>
      </c>
      <c r="C4" s="12">
        <v>16.8065</v>
      </c>
      <c r="D4" s="13">
        <v>159</v>
      </c>
      <c r="E4" s="13">
        <v>28.1968</v>
      </c>
      <c r="F4" s="12">
        <v>149.86</v>
      </c>
      <c r="G4" s="14">
        <v>1.0476</v>
      </c>
      <c r="H4" s="12">
        <f>AVERAGE(B4,D4,F4)</f>
        <v>150.953333333333</v>
      </c>
      <c r="I4" s="12">
        <f>AVERAGE(C4,E4,G4)</f>
        <v>15.3503</v>
      </c>
    </row>
    <row r="5" ht="20.05" customHeight="1">
      <c r="A5" s="10">
        <v>3</v>
      </c>
      <c r="B5" s="15">
        <v>218</v>
      </c>
      <c r="C5" s="13">
        <v>111.2303</v>
      </c>
      <c r="D5" s="13">
        <v>226</v>
      </c>
      <c r="E5" s="12">
        <v>64.4225</v>
      </c>
      <c r="F5" s="14">
        <v>217.29</v>
      </c>
      <c r="G5" s="14">
        <v>1.5759</v>
      </c>
      <c r="H5" s="12">
        <f>AVERAGE(B5,D5,F5)</f>
        <v>220.43</v>
      </c>
      <c r="I5" s="12">
        <f>AVERAGE(C5,E5,G5)</f>
        <v>59.0762333333333</v>
      </c>
    </row>
    <row r="6" ht="20.05" customHeight="1">
      <c r="A6" s="10">
        <v>4</v>
      </c>
      <c r="B6" s="11">
        <v>295</v>
      </c>
      <c r="C6" s="13">
        <v>399.9506</v>
      </c>
      <c r="D6" s="13">
        <v>319.88</v>
      </c>
      <c r="E6" s="12">
        <v>118.4394</v>
      </c>
      <c r="F6" s="12">
        <v>313.75</v>
      </c>
      <c r="G6" s="14">
        <v>2.1031</v>
      </c>
      <c r="H6" s="12">
        <f>AVERAGE(B6,D6,F6)</f>
        <v>309.543333333333</v>
      </c>
      <c r="I6" s="12">
        <f>AVERAGE(C6,E6,G6)</f>
        <v>173.4977</v>
      </c>
    </row>
    <row r="7" ht="20.05" customHeight="1">
      <c r="A7" s="10">
        <v>5</v>
      </c>
      <c r="B7" s="11">
        <v>378</v>
      </c>
      <c r="C7" s="13">
        <v>654.8631</v>
      </c>
      <c r="D7" s="12">
        <v>395.13</v>
      </c>
      <c r="E7" s="12">
        <v>246.2231</v>
      </c>
      <c r="F7" s="13">
        <v>401.13</v>
      </c>
      <c r="G7" s="14">
        <v>4.7139</v>
      </c>
      <c r="H7" s="12">
        <f>AVERAGE(B7,D7,F7)</f>
        <v>391.42</v>
      </c>
      <c r="I7" s="12">
        <f>AVERAGE(C7,E7,G7)</f>
        <v>301.933366666667</v>
      </c>
    </row>
    <row r="8" ht="20.05" customHeight="1">
      <c r="A8" s="10">
        <v>6</v>
      </c>
      <c r="B8" s="11">
        <v>462</v>
      </c>
      <c r="C8" s="16">
        <v>1497.3453</v>
      </c>
      <c r="D8" s="12">
        <v>495.88</v>
      </c>
      <c r="E8" s="12">
        <v>324.0579</v>
      </c>
      <c r="F8" s="13">
        <v>498</v>
      </c>
      <c r="G8" s="14">
        <v>3.869</v>
      </c>
      <c r="H8" s="12">
        <f>AVERAGE(B8,D8,F8)</f>
        <v>485.293333333333</v>
      </c>
      <c r="I8" s="12">
        <f>AVERAGE(C8,E8,G8)</f>
        <v>608.424066666667</v>
      </c>
    </row>
    <row r="9" ht="20.05" customHeight="1">
      <c r="A9" s="10">
        <v>7</v>
      </c>
      <c r="B9" s="11">
        <v>525</v>
      </c>
      <c r="C9" s="16">
        <v>2281.1847</v>
      </c>
      <c r="D9" s="12">
        <v>562</v>
      </c>
      <c r="E9" s="12">
        <v>342.6852</v>
      </c>
      <c r="F9" s="13">
        <v>567.5</v>
      </c>
      <c r="G9" s="14">
        <v>3.5424</v>
      </c>
      <c r="H9" s="12">
        <f>AVERAGE(B9,D9,F9)</f>
        <v>551.5</v>
      </c>
      <c r="I9" s="12">
        <f>AVERAGE(C9,E9,G9)</f>
        <v>875.8040999999999</v>
      </c>
    </row>
    <row r="10" ht="20.05" customHeight="1">
      <c r="A10" s="10">
        <v>8</v>
      </c>
      <c r="B10" s="11">
        <v>584</v>
      </c>
      <c r="C10" s="16">
        <v>3274.8856</v>
      </c>
      <c r="D10" s="12">
        <v>629.88</v>
      </c>
      <c r="E10" s="12">
        <v>448.0177</v>
      </c>
      <c r="F10" s="13">
        <v>641</v>
      </c>
      <c r="G10" s="14">
        <v>4.0417</v>
      </c>
      <c r="H10" s="12">
        <f>AVERAGE(B10,D10,F10)</f>
        <v>618.293333333333</v>
      </c>
      <c r="I10" s="12">
        <f>AVERAGE(C10,E10,G10)</f>
        <v>1242.315</v>
      </c>
    </row>
    <row r="11" ht="20.05" customHeight="1">
      <c r="A11" t="s" s="17">
        <v>4</v>
      </c>
      <c r="B11" s="15">
        <f>AVERAGE(B3:B10)</f>
        <v>337.125</v>
      </c>
      <c r="C11" s="12">
        <f>AVERAGE(C3:C10)</f>
        <v>1029.788875</v>
      </c>
      <c r="D11" s="12">
        <f>AVERAGE(D3:D10)</f>
        <v>359.44</v>
      </c>
      <c r="E11" s="12">
        <f>AVERAGE(E3:E10)</f>
        <v>197.38635</v>
      </c>
      <c r="F11" s="12">
        <f>AVERAGE(F3:F10)</f>
        <v>358.94125</v>
      </c>
      <c r="G11" s="12">
        <f>AVERAGE(G3:G10)</f>
        <v>2.681</v>
      </c>
      <c r="H11" s="12"/>
      <c r="I11" s="12"/>
    </row>
    <row r="12" ht="20.05" customHeight="1">
      <c r="A12" t="s" s="17">
        <v>8</v>
      </c>
      <c r="B12" t="s" s="18">
        <v>1</v>
      </c>
      <c r="C12" s="19"/>
      <c r="D12" t="s" s="20">
        <v>2</v>
      </c>
      <c r="E12" s="19"/>
      <c r="F12" t="s" s="20">
        <v>3</v>
      </c>
      <c r="G12" s="19"/>
      <c r="H12" t="s" s="20">
        <v>4</v>
      </c>
      <c r="I12" s="19"/>
    </row>
    <row r="13" ht="20.05" customHeight="1">
      <c r="A13" s="10">
        <v>1</v>
      </c>
      <c r="B13" s="15">
        <f>B3/C3</f>
        <v>44.5009535918627</v>
      </c>
      <c r="C13" s="12"/>
      <c r="D13" s="13">
        <f>D3/E3</f>
        <v>12.4499872307823</v>
      </c>
      <c r="E13" s="12"/>
      <c r="F13" s="14">
        <f>F3/G3</f>
        <v>149.7113997114</v>
      </c>
      <c r="G13" s="12"/>
      <c r="H13" s="12">
        <f>H3/I3</f>
        <v>27.131381186836</v>
      </c>
      <c r="I13" s="12"/>
    </row>
    <row r="14" ht="20.05" customHeight="1">
      <c r="A14" s="10">
        <v>2</v>
      </c>
      <c r="B14" s="15">
        <f>B4/C4</f>
        <v>8.56811352750424</v>
      </c>
      <c r="C14" s="12"/>
      <c r="D14" s="13">
        <f>D4/E4</f>
        <v>5.63893775180162</v>
      </c>
      <c r="E14" s="12"/>
      <c r="F14" s="14">
        <f>F4/G4</f>
        <v>143.050782741504</v>
      </c>
      <c r="G14" s="12"/>
      <c r="H14" s="12">
        <f>H4/I4</f>
        <v>9.8339011832559</v>
      </c>
      <c r="I14" s="12"/>
    </row>
    <row r="15" ht="20.05" customHeight="1">
      <c r="A15" s="10">
        <v>3</v>
      </c>
      <c r="B15" s="21">
        <f>B5/C5</f>
        <v>1.95989761782536</v>
      </c>
      <c r="C15" s="12"/>
      <c r="D15" s="12">
        <f>D5/E5</f>
        <v>3.50809111723389</v>
      </c>
      <c r="E15" s="12"/>
      <c r="F15" s="14">
        <f>F5/G5</f>
        <v>137.883114410813</v>
      </c>
      <c r="G15" s="12"/>
      <c r="H15" s="12">
        <f>H5/I5</f>
        <v>3.73128054316259</v>
      </c>
      <c r="I15" s="12"/>
    </row>
    <row r="16" ht="20.05" customHeight="1">
      <c r="A16" s="10">
        <v>4</v>
      </c>
      <c r="B16" s="21">
        <f>B6/C6</f>
        <v>0.7375910924999241</v>
      </c>
      <c r="C16" s="12"/>
      <c r="D16" s="12">
        <f>D6/E6</f>
        <v>2.70079044642239</v>
      </c>
      <c r="E16" s="12"/>
      <c r="F16" s="14">
        <f>F6/G6</f>
        <v>149.184537111882</v>
      </c>
      <c r="G16" s="12"/>
      <c r="H16" s="12">
        <f>H6/I6</f>
        <v>1.78413508267449</v>
      </c>
      <c r="I16" s="12"/>
    </row>
    <row r="17" ht="20.05" customHeight="1">
      <c r="A17" s="10">
        <v>5</v>
      </c>
      <c r="B17" s="21">
        <f>B7/C7</f>
        <v>0.577219880002401</v>
      </c>
      <c r="C17" s="12"/>
      <c r="D17" s="12">
        <f>D7/E7</f>
        <v>1.60476413464049</v>
      </c>
      <c r="E17" s="12"/>
      <c r="F17" s="14">
        <f>F7/G7</f>
        <v>85.0951441481576</v>
      </c>
      <c r="G17" s="12"/>
      <c r="H17" s="12">
        <f>H7/I7</f>
        <v>1.29637874846779</v>
      </c>
      <c r="I17" s="12"/>
    </row>
    <row r="18" ht="20.05" customHeight="1">
      <c r="A18" s="10">
        <v>6</v>
      </c>
      <c r="B18" s="21">
        <f>B8/C8</f>
        <v>0.308546064825528</v>
      </c>
      <c r="C18" s="12"/>
      <c r="D18" s="12">
        <f>D8/E8</f>
        <v>1.53022037111269</v>
      </c>
      <c r="E18" s="12"/>
      <c r="F18" s="14">
        <f>F8/G8</f>
        <v>128.715430343758</v>
      </c>
      <c r="G18" s="12"/>
      <c r="H18" s="12">
        <f>H8/I8</f>
        <v>0.797623499662132</v>
      </c>
      <c r="I18" s="12"/>
    </row>
    <row r="19" ht="20.05" customHeight="1">
      <c r="A19" s="10">
        <v>7</v>
      </c>
      <c r="B19" s="21">
        <f>B9/C9</f>
        <v>0.230143574082362</v>
      </c>
      <c r="C19" s="12"/>
      <c r="D19" s="12">
        <f>D9/E9</f>
        <v>1.63998912121095</v>
      </c>
      <c r="E19" s="12"/>
      <c r="F19" s="14">
        <f>F9/G9</f>
        <v>160.202122854562</v>
      </c>
      <c r="G19" s="12"/>
      <c r="H19" s="12">
        <f>H9/I9</f>
        <v>0.629707031515381</v>
      </c>
      <c r="I19" s="12"/>
    </row>
    <row r="20" ht="20.05" customHeight="1">
      <c r="A20" s="10">
        <v>8</v>
      </c>
      <c r="B20" s="21">
        <f>B10/C10</f>
        <v>0.178326839874956</v>
      </c>
      <c r="C20" s="12"/>
      <c r="D20" s="12">
        <f>D10/E10</f>
        <v>1.40592659620368</v>
      </c>
      <c r="E20" s="12"/>
      <c r="F20" s="14">
        <f>F10/G10</f>
        <v>158.596630130886</v>
      </c>
      <c r="G20" s="12"/>
      <c r="H20" s="12">
        <f>H10/I10</f>
        <v>0.497694492405978</v>
      </c>
      <c r="I20" s="12"/>
    </row>
    <row r="21" ht="20.05" customHeight="1">
      <c r="A21" t="s" s="17">
        <v>4</v>
      </c>
      <c r="B21" s="21">
        <f>B11/C11</f>
        <v>0.327372928747167</v>
      </c>
      <c r="C21" s="12"/>
      <c r="D21" s="12">
        <f>D11/E11</f>
        <v>1.82099724727672</v>
      </c>
      <c r="E21" s="12"/>
      <c r="F21" s="14">
        <f>F11/G11</f>
        <v>133.883345766505</v>
      </c>
      <c r="G21" s="12"/>
      <c r="H21" s="12">
        <f>AVERAGE(H13:H20)</f>
        <v>5.71276272099753</v>
      </c>
      <c r="I21" s="12"/>
    </row>
  </sheetData>
  <mergeCells count="8">
    <mergeCell ref="B1:C1"/>
    <mergeCell ref="F1:G1"/>
    <mergeCell ref="D1:E1"/>
    <mergeCell ref="H1:I1"/>
    <mergeCell ref="B12:C12"/>
    <mergeCell ref="F12:G12"/>
    <mergeCell ref="D12:E12"/>
    <mergeCell ref="H12:I1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